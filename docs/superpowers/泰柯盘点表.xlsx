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<sst xmlns="http://schemas.openxmlformats.org/spreadsheetml/2006/main" uniqueCount="244">
  <si>
    <t xml:space="preserve">tamkoko月盘表 </t>
  </si>
  <si>
    <t>分类</t>
  </si>
  <si>
    <t>物料名称</t>
  </si>
  <si>
    <t>SKU</t>
  </si>
  <si>
    <t>规格</t>
  </si>
  <si>
    <t>单价/元</t>
  </si>
  <si>
    <t>现有库存</t>
  </si>
  <si>
    <t>单位</t>
  </si>
  <si>
    <t>隐藏栏/盘点单位单价</t>
  </si>
  <si>
    <t>库存金额</t>
  </si>
  <si>
    <t>常温物料</t>
  </si>
  <si>
    <t>鲜牛乳奶基底</t>
  </si>
  <si>
    <t>001365</t>
  </si>
  <si>
    <t>规格：1kg*12盒/箱</t>
  </si>
  <si>
    <t>箱</t>
  </si>
  <si>
    <t>专供定制豆花粉</t>
  </si>
  <si>
    <t>002454</t>
  </si>
  <si>
    <t>规格：800g*12 包</t>
  </si>
  <si>
    <t>包</t>
  </si>
  <si>
    <t>【迷你款】冰淇淋脆筒</t>
  </si>
  <si>
    <t>002453</t>
  </si>
  <si>
    <t>规格：450个/箱</t>
  </si>
  <si>
    <t>个</t>
  </si>
  <si>
    <t>白砂糖（小包装）</t>
  </si>
  <si>
    <t>001094</t>
  </si>
  <si>
    <t>规格：1kg*10 包</t>
  </si>
  <si>
    <t>天然可可粉</t>
  </si>
  <si>
    <t>002485</t>
  </si>
  <si>
    <t>规格：1kg*2 包/箱</t>
  </si>
  <si>
    <t>甜菜根粉</t>
  </si>
  <si>
    <t>002004</t>
  </si>
  <si>
    <t>规格：100g/包</t>
  </si>
  <si>
    <t>特调牛乳</t>
  </si>
  <si>
    <t>002507</t>
  </si>
  <si>
    <t>规格：1L*12盒</t>
  </si>
  <si>
    <t>冰糖糖水（68°瓶装)</t>
  </si>
  <si>
    <t>00890</t>
  </si>
  <si>
    <t>规格：2.5kg*6瓶</t>
  </si>
  <si>
    <t>瓶</t>
  </si>
  <si>
    <t>雀巢鹰唛炼奶</t>
  </si>
  <si>
    <t>002508</t>
  </si>
  <si>
    <t>规格：350克*24罐</t>
  </si>
  <si>
    <t>恒天然脱脂乳粉</t>
  </si>
  <si>
    <t>002509</t>
  </si>
  <si>
    <t>规格：25kg/袋</t>
  </si>
  <si>
    <t>袋</t>
  </si>
  <si>
    <t>脆皮冰淇淋筒</t>
  </si>
  <si>
    <t>002512</t>
  </si>
  <si>
    <t>规格：200个/箱</t>
  </si>
  <si>
    <t>克丽安大麦粒爆米花</t>
  </si>
  <si>
    <t>002513</t>
  </si>
  <si>
    <t>规格：74g*16 包</t>
  </si>
  <si>
    <t>中糖黑糖粉</t>
  </si>
  <si>
    <t>002511</t>
  </si>
  <si>
    <t>规格：30kg/袋</t>
  </si>
  <si>
    <t>泰式混合茶（含茶伴侣粉）</t>
  </si>
  <si>
    <t>002504</t>
  </si>
  <si>
    <t>规格：500克*20包</t>
  </si>
  <si>
    <t>吉利丁片</t>
  </si>
  <si>
    <t>002574</t>
  </si>
  <si>
    <t>规格：5g*200 片</t>
  </si>
  <si>
    <t>芝士酪乳</t>
  </si>
  <si>
    <t>002712</t>
  </si>
  <si>
    <t>规格：1L*12 盒</t>
  </si>
  <si>
    <t>盒</t>
  </si>
  <si>
    <t>泰式伴侣粉（小包）</t>
  </si>
  <si>
    <t>002722</t>
  </si>
  <si>
    <t>规格：25克*20包</t>
  </si>
  <si>
    <t>云间茉莉</t>
  </si>
  <si>
    <t>001571</t>
  </si>
  <si>
    <t>规格：50g*10 小袋/包</t>
  </si>
  <si>
    <t>泰柯纯牛奶</t>
  </si>
  <si>
    <t>002713</t>
  </si>
  <si>
    <t>芝士冰淇淋奶浆</t>
  </si>
  <si>
    <t>002488</t>
  </si>
  <si>
    <t>水果</t>
  </si>
  <si>
    <t>莳萝草（净重500g）</t>
  </si>
  <si>
    <t>002899</t>
  </si>
  <si>
    <t>规格：净重500g</t>
  </si>
  <si>
    <t>g</t>
  </si>
  <si>
    <t>迷迭香（净重250g）</t>
  </si>
  <si>
    <t>002889</t>
  </si>
  <si>
    <t>规格：净重250g</t>
  </si>
  <si>
    <t>迷迭香（净重500g）</t>
  </si>
  <si>
    <t>002861</t>
  </si>
  <si>
    <t>莳萝草（净重250g）</t>
  </si>
  <si>
    <t>002902</t>
  </si>
  <si>
    <t>包装材料</t>
  </si>
  <si>
    <t>定制收银纸（60*80）</t>
  </si>
  <si>
    <t>002489</t>
  </si>
  <si>
    <t>规格：50卷/箱</t>
  </si>
  <si>
    <t>杯贴打印纸（40*60mm）</t>
  </si>
  <si>
    <t>002490</t>
  </si>
  <si>
    <t>规格：600张*50卷/箱</t>
  </si>
  <si>
    <t>卷</t>
  </si>
  <si>
    <t>冰淇淋脆筒纸套（迷你款）</t>
  </si>
  <si>
    <t>002471</t>
  </si>
  <si>
    <t>规格：500个*8包/箱</t>
  </si>
  <si>
    <t>Tamkoko定制杯套（0,1）</t>
  </si>
  <si>
    <t>002462</t>
  </si>
  <si>
    <t>规格：100个/包</t>
  </si>
  <si>
    <t>可拆四杯托（4拆2）</t>
  </si>
  <si>
    <t>002037</t>
  </si>
  <si>
    <t>规格：400个/箱</t>
  </si>
  <si>
    <t>Tamkoko-热饮双层16oz纸杯</t>
  </si>
  <si>
    <t>002499</t>
  </si>
  <si>
    <t>规格：25个*20条</t>
  </si>
  <si>
    <t>条</t>
  </si>
  <si>
    <t>tamkoko-两杯保温袋（0.1）</t>
  </si>
  <si>
    <t>002481</t>
  </si>
  <si>
    <t>规格：300个/箱</t>
  </si>
  <si>
    <t>tamkoko-单杯保温袋（0.1）</t>
  </si>
  <si>
    <t>002482</t>
  </si>
  <si>
    <t>tamkoko-四杯保温袋（0.1）</t>
  </si>
  <si>
    <t>002480</t>
  </si>
  <si>
    <t>保温桶标签贴</t>
  </si>
  <si>
    <t>002498</t>
  </si>
  <si>
    <t>规格：6张/包</t>
  </si>
  <si>
    <t>tamkoko-小泰瓶手工布标签</t>
  </si>
  <si>
    <t>002530</t>
  </si>
  <si>
    <t>规格：500张/包</t>
  </si>
  <si>
    <t>冰淇淋脆筒纸套（标准）</t>
  </si>
  <si>
    <t>002529</t>
  </si>
  <si>
    <t>规格：2000个/箱</t>
  </si>
  <si>
    <t>tamkoko-餐巾纸</t>
  </si>
  <si>
    <t>002525</t>
  </si>
  <si>
    <t>规格：100张*36包</t>
  </si>
  <si>
    <t>tamkoko-可降解纸浆勺</t>
  </si>
  <si>
    <t>002524</t>
  </si>
  <si>
    <t>规格：100支/包</t>
  </si>
  <si>
    <t>tamkoko-外卖封口贴（1.0版）</t>
  </si>
  <si>
    <t>002532</t>
  </si>
  <si>
    <t>规格：1000张/卷</t>
  </si>
  <si>
    <t>单杯纸袋（300个/箱）</t>
  </si>
  <si>
    <t>002533</t>
  </si>
  <si>
    <t>泰奶-小泰瓶（螺纹款）</t>
  </si>
  <si>
    <t>002493</t>
  </si>
  <si>
    <t>规格：100个/箱</t>
  </si>
  <si>
    <t>小泰瓶-银色铝制瓶盖（螺纹款）</t>
  </si>
  <si>
    <t>002494</t>
  </si>
  <si>
    <t>泰柯茶园98-16oz冷饮塑杯</t>
  </si>
  <si>
    <t>002517</t>
  </si>
  <si>
    <t>规格：50个*20条</t>
  </si>
  <si>
    <t>泰柯茶园98-14oz冷饮塑杯</t>
  </si>
  <si>
    <t>002518</t>
  </si>
  <si>
    <t>泰柯茶园95-7.5分装小料塑杯</t>
  </si>
  <si>
    <t>002519</t>
  </si>
  <si>
    <t>98加高PET杯盖</t>
  </si>
  <si>
    <t>002520</t>
  </si>
  <si>
    <t>98大孔PET杯盖</t>
  </si>
  <si>
    <t>002521</t>
  </si>
  <si>
    <t>98PET分体杯盖</t>
  </si>
  <si>
    <t>002522</t>
  </si>
  <si>
    <t>95PET分装小料杯盖</t>
  </si>
  <si>
    <t>002523</t>
  </si>
  <si>
    <t>泰柯-pla可降解黑色粗吸管（粗）</t>
  </si>
  <si>
    <t>002515</t>
  </si>
  <si>
    <t>规格：100支*20包</t>
  </si>
  <si>
    <t>泰柯-pla可降解黑色粗吸管（细）</t>
  </si>
  <si>
    <t>002516</t>
  </si>
  <si>
    <t>规格：200支*20包</t>
  </si>
  <si>
    <t>两杯纸袋（300个/箱）</t>
  </si>
  <si>
    <t>002591</t>
  </si>
  <si>
    <t>热饮纸杯杯盖（黑色-深卡槽）</t>
  </si>
  <si>
    <t>002708</t>
  </si>
  <si>
    <t>一次性手套（餐食-独立小包）</t>
  </si>
  <si>
    <t>002737</t>
  </si>
  <si>
    <t>规格：2只装*200双</t>
  </si>
  <si>
    <t>泰柯-定制餐食纸盒（卷饼）</t>
  </si>
  <si>
    <t>002725</t>
  </si>
  <si>
    <t>规格：600个/箱</t>
  </si>
  <si>
    <t>18*18c餐食垫纸</t>
  </si>
  <si>
    <t>002726</t>
  </si>
  <si>
    <t>前吧台装饰-圆形纸罐</t>
  </si>
  <si>
    <t>002799</t>
  </si>
  <si>
    <t>规格：个</t>
  </si>
  <si>
    <t>布标签-超浓(可可瓶)</t>
  </si>
  <si>
    <t>002714</t>
  </si>
  <si>
    <t>布标签-超浓(小奶瓶)</t>
  </si>
  <si>
    <t>002715</t>
  </si>
  <si>
    <t>布标签-超浓(小泰瓶)</t>
  </si>
  <si>
    <t>002716</t>
  </si>
  <si>
    <t>茶特调风味卡片(青芒山竹)</t>
  </si>
  <si>
    <t>002867</t>
  </si>
  <si>
    <t>规格：200张/包</t>
  </si>
  <si>
    <t>冷冻&amp;冷藏食品</t>
  </si>
  <si>
    <t>(冷冻)快煮黑糖珍珠</t>
  </si>
  <si>
    <t>002440</t>
  </si>
  <si>
    <t>规 格 ：1kg*12 包</t>
  </si>
  <si>
    <t>(冷冻)椰子水(袋装)</t>
  </si>
  <si>
    <t>002514</t>
  </si>
  <si>
    <t>规 格 ： 1kg*12 包</t>
  </si>
  <si>
    <t>(冷冻)米麻芒</t>
  </si>
  <si>
    <t>001794</t>
  </si>
  <si>
    <t>规格：500g*20 包/箱</t>
  </si>
  <si>
    <t>(冷藏)闪蝶喷射奶油</t>
  </si>
  <si>
    <t>002582</t>
  </si>
  <si>
    <t>规格：470克*12罐</t>
  </si>
  <si>
    <t>罐</t>
  </si>
  <si>
    <t>(冷冻)蜜桔汁</t>
  </si>
  <si>
    <t>001369</t>
  </si>
  <si>
    <t>规格：1L*12罐/箱</t>
  </si>
  <si>
    <t>(冷冻)秦国嫩椰肉条</t>
  </si>
  <si>
    <t>002721</t>
  </si>
  <si>
    <t>规 格 ： 1kg*16 包</t>
  </si>
  <si>
    <t>（速冻)山竹汁</t>
  </si>
  <si>
    <t>002088</t>
  </si>
  <si>
    <t>规格：960ml*12瓶/箱</t>
  </si>
  <si>
    <t>(冷冻)榴莲味冰淇淋</t>
  </si>
  <si>
    <t>002762</t>
  </si>
  <si>
    <t>规格：3kg*2盒</t>
  </si>
  <si>
    <t>(速冻)榴莲果泥</t>
  </si>
  <si>
    <t>002790</t>
  </si>
  <si>
    <t>规格：1kg*10 包/箱</t>
  </si>
  <si>
    <t>(冷冻)生椰乳(新)</t>
  </si>
  <si>
    <t>000352</t>
  </si>
  <si>
    <t>规格：1kg*20 包</t>
  </si>
  <si>
    <t>(速冻)释迦果浆</t>
  </si>
  <si>
    <t>002785</t>
  </si>
  <si>
    <t>规格：500g*12 包/箱</t>
  </si>
  <si>
    <t>(冷冻)青芒汁</t>
  </si>
  <si>
    <t>002789</t>
  </si>
  <si>
    <t>规格：1kg*12 瓶/箱</t>
  </si>
  <si>
    <t>(速冻)芭乐浆</t>
  </si>
  <si>
    <t>002738</t>
  </si>
  <si>
    <t>规格：980g*12 瓶/箱</t>
  </si>
  <si>
    <t>(冷冻)青柠浆</t>
  </si>
  <si>
    <t>002825</t>
  </si>
  <si>
    <t>规格：500g*24 瓶/箱</t>
  </si>
  <si>
    <t>(冷藏)多效搅打稀奶油</t>
  </si>
  <si>
    <t>002044</t>
  </si>
  <si>
    <t>规格：1L*12 盒/箱</t>
  </si>
  <si>
    <t>定制周边</t>
  </si>
  <si>
    <t>Tamkoko 帆布袋(手提加宽版)</t>
  </si>
  <si>
    <t>002590</t>
  </si>
  <si>
    <t>亚克力冰箱贴(咸法酪泰奶款)</t>
  </si>
  <si>
    <t>002583</t>
  </si>
  <si>
    <t>亚克力冰箱贴(甄选泰奶款)</t>
  </si>
  <si>
    <t>002584</t>
  </si>
  <si>
    <t>亚克力冰箱贴(超浓小泰瓶款)</t>
  </si>
  <si>
    <t>002586</t>
  </si>
  <si>
    <t>亚克力冰箱贴(猫猫头款)</t>
  </si>
  <si>
    <t>002587</t>
  </si>
  <si>
    <t>总额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</si>
</sst>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SimSun"/>
    </font>
    <font>
      <sz val="11"/>
      <color indexed="8"/>
      <name val="Helvetica Neue"/>
    </font>
    <font>
      <sz val="15"/>
      <color indexed="8"/>
      <name val="Calibri"/>
    </font>
    <font>
      <sz val="16"/>
      <color indexed="8"/>
      <name val="SimSun"/>
    </font>
    <font>
      <sz val="12"/>
      <color indexed="8"/>
      <name val="SimSun"/>
    </font>
    <font>
      <sz val="17"/>
      <color indexed="8"/>
      <name val="SimHei"/>
    </font>
    <font>
      <sz val="12"/>
      <color indexed="8"/>
      <name val="SimHe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25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horizontal="center" vertical="center"/>
    </xf>
    <xf numFmtId="0" fontId="0" borderId="1" applyNumberFormat="0" applyFont="1" applyFill="0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vertical="center"/>
    </xf>
    <xf numFmtId="49" fontId="4" fillId="3" borderId="1" applyNumberFormat="1" applyFont="1" applyFill="1" applyBorder="1" applyAlignment="1" applyProtection="0">
      <alignment horizontal="center" vertical="center"/>
    </xf>
    <xf numFmtId="49" fontId="0" borderId="1" applyNumberFormat="1" applyFont="1" applyFill="0" applyBorder="1" applyAlignment="1" applyProtection="0">
      <alignment vertical="center"/>
    </xf>
    <xf numFmtId="49" fontId="4" fillId="2" borderId="1" applyNumberFormat="1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vertical="center"/>
    </xf>
    <xf numFmtId="0" fontId="0" fillId="2" borderId="1" applyNumberFormat="1" applyFont="1" applyFill="1" applyBorder="1" applyAlignment="1" applyProtection="0">
      <alignment vertical="center"/>
    </xf>
    <xf numFmtId="0" fontId="0" fillId="3" borderId="1" applyNumberFormat="1" applyFont="1" applyFill="1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0" fontId="4" fillId="2" borderId="1" applyNumberFormat="0" applyFont="1" applyFill="1" applyBorder="1" applyAlignment="1" applyProtection="0">
      <alignment horizontal="center" vertical="center"/>
    </xf>
    <xf numFmtId="0" fontId="0" fillId="3" borderId="1" applyNumberFormat="0" applyFont="1" applyFill="1" applyBorder="1" applyAlignment="1" applyProtection="0">
      <alignment vertical="center"/>
    </xf>
    <xf numFmtId="0" fontId="5" fillId="3" borderId="1" applyNumberFormat="1" applyFont="1" applyFill="1" applyBorder="1" applyAlignment="1" applyProtection="0">
      <alignment horizontal="left" vertical="top" wrapText="1"/>
    </xf>
    <xf numFmtId="0" fontId="6" fillId="3" borderId="1" applyNumberFormat="1" applyFont="1" applyFill="1" applyBorder="1" applyAlignment="1" applyProtection="0">
      <alignment horizontal="left" vertical="center" wrapText="1"/>
    </xf>
    <xf numFmtId="0" fontId="6" fillId="3" borderId="1" applyNumberFormat="0" applyFont="1" applyFill="1" applyBorder="1" applyAlignment="1" applyProtection="0">
      <alignment horizontal="left" vertical="center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0" fontId="4" fillId="2" borderId="1" applyNumberFormat="0" applyFont="1" applyFill="1" applyBorder="1" applyAlignment="1" applyProtection="0">
      <alignment horizontal="center" vertical="center" wrapText="1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d9dce1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FF00FF"/>
      </a:folHlink>
    </a:clrScheme>
    <a:fontScheme name="WP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WP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reflection blurRad="0" stA="50000" stPos="0" endA="0" endPos="40000" dist="0" dir="5400000" fadeDir="5400000" sx="100000" sy="-100000" kx="0" ky="0" algn="bl" rotWithShape="0"/>
          </a:effectLst>
        </a:effectStyle>
        <a:effectStyle>
          <a:effectLst>
            <a:reflection blurRad="0" stA="50000" stPos="0" endA="0" endPos="40000" dist="0" dir="5400000" fadeDir="5400000" sx="100000" sy="-100000" kx="0" ky="0" algn="bl" rotWithShape="0"/>
          </a:effectLst>
        </a:effectStyle>
        <a:effectStyle>
          <a:effectLst>
            <a:outerShdw sx="100000" sy="100000" kx="0" ky="0" algn="b" rotWithShape="0" blurRad="101600" dist="50800" dir="5400000">
              <a:schemeClr val="accent3">
                <a:alpha val="60000"/>
              </a:scheme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>
          <a:reflection blurRad="0" stA="50000" stPos="0" endA="0" endPos="40000" dist="0" dir="5400000" fadeDir="5400000" sx="100000" sy="-100000" kx="0" ky="0" algn="bl" rotWithShape="0"/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>
          <a:outerShdw sx="100000" sy="100000" kx="0" ky="0" algn="b" rotWithShape="0" blurRad="101600" dist="50800" dir="5400000">
            <a:schemeClr val="accent1">
              <a:alpha val="60000"/>
            </a:scheme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86"/>
  <sheetViews>
    <sheetView workbookViewId="0" showGridLines="0" defaultGridColor="1"/>
  </sheetViews>
  <sheetFormatPr defaultColWidth="4" defaultRowHeight="14.4" customHeight="1" outlineLevelRow="0" outlineLevelCol="0"/>
  <cols>
    <col min="1" max="1" width="5.35156" style="1" customWidth="1"/>
    <col min="2" max="2" width="14.8047" style="1" customWidth="1"/>
    <col min="3" max="3" width="4" style="1" customWidth="1"/>
    <col min="4" max="4" width="12.8984" style="1" customWidth="1"/>
    <col min="5" max="5" width="4" style="1" customWidth="1"/>
    <col min="6" max="6" width="6.80469" style="1" customWidth="1"/>
    <col min="7" max="8" width="4.57812" style="1" customWidth="1"/>
    <col min="9" max="9" width="5.21875" style="1" customWidth="1"/>
    <col min="10" max="16384" width="4" style="1" customWidth="1"/>
  </cols>
  <sheetData>
    <row r="1" ht="20.4" customHeight="1">
      <c r="A1" t="s" s="2">
        <v>0</v>
      </c>
      <c r="B1" s="3"/>
      <c r="C1" s="3"/>
      <c r="D1" s="3"/>
      <c r="E1" s="3"/>
      <c r="F1" s="3"/>
      <c r="G1" s="4"/>
      <c r="H1" s="4"/>
      <c r="I1" s="4"/>
    </row>
    <row r="2" ht="15.6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6">
        <v>6</v>
      </c>
      <c r="G2" t="s" s="7">
        <v>7</v>
      </c>
      <c r="H2" t="s" s="7">
        <v>8</v>
      </c>
      <c r="I2" t="s" s="7">
        <v>9</v>
      </c>
    </row>
    <row r="3" ht="14.4" customHeight="1">
      <c r="A3" t="s" s="8">
        <v>10</v>
      </c>
      <c r="B3" t="s" s="9">
        <v>11</v>
      </c>
      <c r="C3" t="s" s="9">
        <v>12</v>
      </c>
      <c r="D3" t="s" s="9">
        <v>13</v>
      </c>
      <c r="E3" s="10">
        <v>264</v>
      </c>
      <c r="F3" s="11">
        <v>24</v>
      </c>
      <c r="G3" t="s" s="7">
        <v>14</v>
      </c>
      <c r="H3" s="12">
        <v>22</v>
      </c>
      <c r="I3" s="12" cm="1">
        <f t="array" ref="I3">H3*F3</f>
        <v>528</v>
      </c>
    </row>
    <row r="4" ht="14.4" customHeight="1">
      <c r="A4" s="13"/>
      <c r="B4" t="s" s="9">
        <v>15</v>
      </c>
      <c r="C4" t="s" s="9">
        <v>16</v>
      </c>
      <c r="D4" t="s" s="9">
        <v>17</v>
      </c>
      <c r="E4" s="10">
        <v>450</v>
      </c>
      <c r="F4" s="11">
        <v>4</v>
      </c>
      <c r="G4" t="s" s="7">
        <v>18</v>
      </c>
      <c r="H4" s="12">
        <v>37.5</v>
      </c>
      <c r="I4" s="12" cm="1">
        <f t="array" ref="I4">H4*F4</f>
        <v>150</v>
      </c>
    </row>
    <row r="5" ht="14.4" customHeight="1">
      <c r="A5" s="13"/>
      <c r="B5" t="s" s="9">
        <v>19</v>
      </c>
      <c r="C5" t="s" s="9">
        <v>20</v>
      </c>
      <c r="D5" t="s" s="9">
        <v>21</v>
      </c>
      <c r="E5" s="10">
        <v>109</v>
      </c>
      <c r="F5" s="14"/>
      <c r="G5" t="s" s="7">
        <v>22</v>
      </c>
      <c r="H5" s="12">
        <v>0.242</v>
      </c>
      <c r="I5" s="12" cm="1">
        <f t="array" ref="I5">H5*F5</f>
        <v>0</v>
      </c>
    </row>
    <row r="6" ht="14.4" customHeight="1">
      <c r="A6" s="13"/>
      <c r="B6" t="s" s="9">
        <v>23</v>
      </c>
      <c r="C6" t="s" s="9">
        <v>24</v>
      </c>
      <c r="D6" t="s" s="9">
        <v>25</v>
      </c>
      <c r="E6" s="10">
        <v>120</v>
      </c>
      <c r="F6" s="14"/>
      <c r="G6" t="s" s="7">
        <v>18</v>
      </c>
      <c r="H6" s="12">
        <v>12</v>
      </c>
      <c r="I6" s="12" cm="1">
        <f t="array" ref="I6">H6*F6</f>
        <v>0</v>
      </c>
    </row>
    <row r="7" ht="14.4" customHeight="1">
      <c r="A7" s="13"/>
      <c r="B7" t="s" s="9">
        <v>26</v>
      </c>
      <c r="C7" t="s" s="9">
        <v>27</v>
      </c>
      <c r="D7" t="s" s="9">
        <v>28</v>
      </c>
      <c r="E7" s="10">
        <v>240</v>
      </c>
      <c r="F7" s="11">
        <v>2</v>
      </c>
      <c r="G7" t="s" s="7">
        <v>18</v>
      </c>
      <c r="H7" s="12">
        <v>120</v>
      </c>
      <c r="I7" s="12" cm="1">
        <f t="array" ref="I7">H7*F7</f>
        <v>240</v>
      </c>
    </row>
    <row r="8" ht="14.4" customHeight="1">
      <c r="A8" s="13"/>
      <c r="B8" t="s" s="9">
        <v>29</v>
      </c>
      <c r="C8" t="s" s="9">
        <v>30</v>
      </c>
      <c r="D8" t="s" s="9">
        <v>31</v>
      </c>
      <c r="E8" s="10">
        <v>15</v>
      </c>
      <c r="F8" s="14"/>
      <c r="G8" t="s" s="7">
        <v>18</v>
      </c>
      <c r="H8" s="12">
        <v>15</v>
      </c>
      <c r="I8" s="12" cm="1">
        <f t="array" ref="I8">H8*F8</f>
        <v>0</v>
      </c>
    </row>
    <row r="9" ht="14.4" customHeight="1">
      <c r="A9" s="13"/>
      <c r="B9" t="s" s="9">
        <v>32</v>
      </c>
      <c r="C9" t="s" s="9">
        <v>33</v>
      </c>
      <c r="D9" t="s" s="9">
        <v>34</v>
      </c>
      <c r="E9" s="10">
        <v>354</v>
      </c>
      <c r="F9" s="11">
        <v>4</v>
      </c>
      <c r="G9" t="s" s="7">
        <v>14</v>
      </c>
      <c r="H9" s="12">
        <v>354</v>
      </c>
      <c r="I9" s="12" cm="1">
        <f t="array" ref="I9">H9*F9</f>
        <v>1416</v>
      </c>
    </row>
    <row r="10" ht="21" customHeight="1">
      <c r="A10" s="13"/>
      <c r="B10" t="s" s="9">
        <v>35</v>
      </c>
      <c r="C10" t="s" s="9">
        <v>36</v>
      </c>
      <c r="D10" t="s" s="9">
        <v>37</v>
      </c>
      <c r="E10" s="10">
        <v>148.5</v>
      </c>
      <c r="F10" s="15">
        <v>6</v>
      </c>
      <c r="G10" t="s" s="7">
        <v>38</v>
      </c>
      <c r="H10" s="12">
        <v>24.75</v>
      </c>
      <c r="I10" s="12" cm="1">
        <f t="array" ref="I10">H10*F10</f>
        <v>148.5</v>
      </c>
    </row>
    <row r="11" ht="15.6" customHeight="1">
      <c r="A11" s="13"/>
      <c r="B11" t="s" s="9">
        <v>39</v>
      </c>
      <c r="C11" t="s" s="9">
        <v>40</v>
      </c>
      <c r="D11" t="s" s="9">
        <v>41</v>
      </c>
      <c r="E11" s="10">
        <v>288</v>
      </c>
      <c r="F11" s="16">
        <v>0.8</v>
      </c>
      <c r="G11" t="s" s="7">
        <v>14</v>
      </c>
      <c r="H11" s="12">
        <v>288</v>
      </c>
      <c r="I11" s="12" cm="1">
        <f t="array" ref="I11">H11*F11</f>
        <v>230.4</v>
      </c>
    </row>
    <row r="12" ht="15.6" customHeight="1">
      <c r="A12" s="13"/>
      <c r="B12" t="s" s="9">
        <v>42</v>
      </c>
      <c r="C12" t="s" s="9">
        <v>43</v>
      </c>
      <c r="D12" t="s" s="9">
        <v>44</v>
      </c>
      <c r="E12" s="10">
        <v>700</v>
      </c>
      <c r="F12" s="17"/>
      <c r="G12" t="s" s="7">
        <v>45</v>
      </c>
      <c r="H12" s="12">
        <v>700</v>
      </c>
      <c r="I12" s="12" cm="1">
        <f t="array" ref="I12">H12*F12</f>
        <v>0</v>
      </c>
    </row>
    <row r="13" ht="15.6" customHeight="1">
      <c r="A13" s="13"/>
      <c r="B13" t="s" s="9">
        <v>46</v>
      </c>
      <c r="C13" t="s" s="9">
        <v>47</v>
      </c>
      <c r="D13" t="s" s="9">
        <v>48</v>
      </c>
      <c r="E13" s="10">
        <v>135</v>
      </c>
      <c r="F13" s="17"/>
      <c r="G13" t="s" s="7">
        <v>14</v>
      </c>
      <c r="H13" s="12">
        <v>135</v>
      </c>
      <c r="I13" s="12" cm="1">
        <f t="array" ref="I13">H13*F13</f>
        <v>0</v>
      </c>
    </row>
    <row r="14" ht="14.4" customHeight="1">
      <c r="A14" s="13"/>
      <c r="B14" t="s" s="9">
        <v>49</v>
      </c>
      <c r="C14" t="s" s="9">
        <v>50</v>
      </c>
      <c r="D14" t="s" s="9">
        <v>51</v>
      </c>
      <c r="E14" s="10">
        <v>112</v>
      </c>
      <c r="F14" s="11">
        <v>16</v>
      </c>
      <c r="G14" t="s" s="7">
        <v>18</v>
      </c>
      <c r="H14" s="12">
        <v>7</v>
      </c>
      <c r="I14" s="12" cm="1">
        <f t="array" ref="I14">H14*F14</f>
        <v>112</v>
      </c>
    </row>
    <row r="15" ht="14.4" customHeight="1">
      <c r="A15" s="13"/>
      <c r="B15" t="s" s="9">
        <v>52</v>
      </c>
      <c r="C15" t="s" s="9">
        <v>53</v>
      </c>
      <c r="D15" t="s" s="9">
        <v>54</v>
      </c>
      <c r="E15" s="10">
        <v>268</v>
      </c>
      <c r="F15" s="11">
        <v>1</v>
      </c>
      <c r="G15" t="s" s="7">
        <v>45</v>
      </c>
      <c r="H15" s="12">
        <v>268</v>
      </c>
      <c r="I15" s="12" cm="1">
        <f t="array" ref="I15">H15*F15</f>
        <v>268</v>
      </c>
    </row>
    <row r="16" ht="14.4" customHeight="1">
      <c r="A16" s="13"/>
      <c r="B16" t="s" s="9">
        <v>55</v>
      </c>
      <c r="C16" t="s" s="9">
        <v>56</v>
      </c>
      <c r="D16" t="s" s="9">
        <v>57</v>
      </c>
      <c r="E16" s="10">
        <v>810</v>
      </c>
      <c r="F16" s="11">
        <v>25</v>
      </c>
      <c r="G16" t="s" s="7">
        <v>18</v>
      </c>
      <c r="H16" s="12">
        <v>40.5</v>
      </c>
      <c r="I16" s="12" cm="1">
        <f t="array" ref="I16">H16*F16</f>
        <v>1012.5</v>
      </c>
    </row>
    <row r="17" ht="14.4" customHeight="1">
      <c r="A17" s="13"/>
      <c r="B17" t="s" s="9">
        <v>58</v>
      </c>
      <c r="C17" t="s" s="9">
        <v>59</v>
      </c>
      <c r="D17" t="s" s="9">
        <v>60</v>
      </c>
      <c r="E17" s="10">
        <v>112</v>
      </c>
      <c r="F17" s="11">
        <v>1</v>
      </c>
      <c r="G17" t="s" s="7">
        <v>14</v>
      </c>
      <c r="H17" s="12">
        <v>112</v>
      </c>
      <c r="I17" s="12" cm="1">
        <f t="array" ref="I17">H17*F17</f>
        <v>112</v>
      </c>
    </row>
    <row r="18" ht="14.4" customHeight="1">
      <c r="A18" s="13"/>
      <c r="B18" t="s" s="9">
        <v>61</v>
      </c>
      <c r="C18" t="s" s="9">
        <v>62</v>
      </c>
      <c r="D18" t="s" s="9">
        <v>63</v>
      </c>
      <c r="E18" s="10">
        <v>460</v>
      </c>
      <c r="F18" s="11">
        <v>48</v>
      </c>
      <c r="G18" t="s" s="7">
        <v>64</v>
      </c>
      <c r="H18" s="12">
        <v>38.4</v>
      </c>
      <c r="I18" s="12" cm="1">
        <f t="array" ref="I18">H18*F18</f>
        <v>1843.2</v>
      </c>
    </row>
    <row r="19" ht="14.4" customHeight="1">
      <c r="A19" s="13"/>
      <c r="B19" t="s" s="9">
        <v>65</v>
      </c>
      <c r="C19" t="s" s="9">
        <v>66</v>
      </c>
      <c r="D19" t="s" s="9">
        <v>67</v>
      </c>
      <c r="E19" s="10">
        <v>66</v>
      </c>
      <c r="F19" s="14"/>
      <c r="G19" t="s" s="7">
        <v>18</v>
      </c>
      <c r="H19" s="12">
        <v>3.3</v>
      </c>
      <c r="I19" s="12" cm="1">
        <f t="array" ref="I19">H19*F19</f>
        <v>0</v>
      </c>
    </row>
    <row r="20" ht="14.4" customHeight="1">
      <c r="A20" s="13"/>
      <c r="B20" t="s" s="9">
        <v>68</v>
      </c>
      <c r="C20" t="s" s="9">
        <v>69</v>
      </c>
      <c r="D20" t="s" s="9">
        <v>70</v>
      </c>
      <c r="E20" s="10">
        <v>88</v>
      </c>
      <c r="F20" s="11">
        <v>40</v>
      </c>
      <c r="G20" t="s" s="7">
        <v>18</v>
      </c>
      <c r="H20" s="12">
        <v>8</v>
      </c>
      <c r="I20" s="12" cm="1">
        <f t="array" ref="I20">H20*F20</f>
        <v>320</v>
      </c>
    </row>
    <row r="21" ht="14.4" customHeight="1">
      <c r="A21" s="13"/>
      <c r="B21" t="s" s="9">
        <v>71</v>
      </c>
      <c r="C21" t="s" s="9">
        <v>72</v>
      </c>
      <c r="D21" t="s" s="9">
        <v>63</v>
      </c>
      <c r="E21" s="10">
        <v>89</v>
      </c>
      <c r="F21" s="11">
        <v>8</v>
      </c>
      <c r="G21" t="s" s="7">
        <v>14</v>
      </c>
      <c r="H21" s="12">
        <v>89</v>
      </c>
      <c r="I21" s="12" cm="1">
        <f t="array" ref="I21">H21*F21</f>
        <v>712</v>
      </c>
    </row>
    <row r="22" ht="14.4" customHeight="1">
      <c r="A22" s="13"/>
      <c r="B22" t="s" s="9">
        <v>73</v>
      </c>
      <c r="C22" t="s" s="9">
        <v>74</v>
      </c>
      <c r="D22" t="s" s="9">
        <v>63</v>
      </c>
      <c r="E22" s="10">
        <v>388</v>
      </c>
      <c r="F22" s="14"/>
      <c r="G22" t="s" s="7">
        <v>64</v>
      </c>
      <c r="H22" s="12">
        <v>32.3</v>
      </c>
      <c r="I22" s="12" cm="1">
        <f t="array" ref="I22">H22*F22</f>
        <v>0</v>
      </c>
    </row>
    <row r="23" ht="14.4" customHeight="1">
      <c r="A23" t="s" s="8">
        <v>75</v>
      </c>
      <c r="B23" t="s" s="9">
        <v>76</v>
      </c>
      <c r="C23" t="s" s="9">
        <v>77</v>
      </c>
      <c r="D23" t="s" s="9">
        <v>78</v>
      </c>
      <c r="E23" s="10">
        <v>23</v>
      </c>
      <c r="F23" s="14"/>
      <c r="G23" t="s" s="7">
        <v>79</v>
      </c>
      <c r="H23" s="12">
        <v>0.046</v>
      </c>
      <c r="I23" s="12" cm="1">
        <f t="array" ref="I23">H23*F23</f>
        <v>0</v>
      </c>
    </row>
    <row r="24" ht="14.4" customHeight="1">
      <c r="A24" s="13"/>
      <c r="B24" t="s" s="9">
        <v>80</v>
      </c>
      <c r="C24" t="s" s="9">
        <v>81</v>
      </c>
      <c r="D24" t="s" s="9">
        <v>82</v>
      </c>
      <c r="E24" s="10">
        <v>15.5</v>
      </c>
      <c r="F24" s="14"/>
      <c r="G24" t="s" s="7">
        <v>79</v>
      </c>
      <c r="H24" s="12">
        <v>0.062</v>
      </c>
      <c r="I24" s="12" cm="1">
        <f t="array" ref="I24">H24*F24</f>
        <v>0</v>
      </c>
    </row>
    <row r="25" ht="14.4" customHeight="1">
      <c r="A25" s="13"/>
      <c r="B25" t="s" s="9">
        <v>83</v>
      </c>
      <c r="C25" t="s" s="9">
        <v>84</v>
      </c>
      <c r="D25" t="s" s="9">
        <v>78</v>
      </c>
      <c r="E25" s="10">
        <v>20</v>
      </c>
      <c r="F25" s="14"/>
      <c r="G25" t="s" s="7">
        <v>79</v>
      </c>
      <c r="H25" s="12">
        <v>0.04</v>
      </c>
      <c r="I25" s="12" cm="1">
        <f t="array" ref="I25">H25*F25</f>
        <v>0</v>
      </c>
    </row>
    <row r="26" ht="14.4" customHeight="1">
      <c r="A26" s="13"/>
      <c r="B26" t="s" s="9">
        <v>85</v>
      </c>
      <c r="C26" t="s" s="9">
        <v>86</v>
      </c>
      <c r="D26" t="s" s="9">
        <v>82</v>
      </c>
      <c r="E26" s="10">
        <v>17</v>
      </c>
      <c r="F26" s="14"/>
      <c r="G26" t="s" s="7">
        <v>79</v>
      </c>
      <c r="H26" s="12">
        <v>0.068</v>
      </c>
      <c r="I26" s="12" cm="1">
        <f t="array" ref="I26">H26*F26</f>
        <v>0</v>
      </c>
    </row>
    <row r="27" ht="14.4" customHeight="1">
      <c r="A27" t="s" s="8">
        <v>87</v>
      </c>
      <c r="B27" t="s" s="9">
        <v>88</v>
      </c>
      <c r="C27" t="s" s="9">
        <v>89</v>
      </c>
      <c r="D27" t="s" s="9">
        <v>90</v>
      </c>
      <c r="E27" s="10">
        <v>204</v>
      </c>
      <c r="F27" s="11">
        <v>0.6</v>
      </c>
      <c r="G27" t="s" s="7">
        <v>14</v>
      </c>
      <c r="H27" s="12">
        <v>204</v>
      </c>
      <c r="I27" s="12" cm="1">
        <f t="array" ref="I27">H27*F27</f>
        <v>122.4</v>
      </c>
    </row>
    <row r="28" ht="14.4" customHeight="1">
      <c r="A28" s="13"/>
      <c r="B28" t="s" s="9">
        <v>91</v>
      </c>
      <c r="C28" t="s" s="9">
        <v>92</v>
      </c>
      <c r="D28" t="s" s="9">
        <v>93</v>
      </c>
      <c r="E28" s="10">
        <v>365</v>
      </c>
      <c r="F28" s="11">
        <v>20</v>
      </c>
      <c r="G28" t="s" s="7">
        <v>94</v>
      </c>
      <c r="H28" s="12">
        <v>7.3</v>
      </c>
      <c r="I28" s="12" cm="1">
        <f t="array" ref="I28">H28*F28</f>
        <v>146</v>
      </c>
    </row>
    <row r="29" ht="14.4" customHeight="1">
      <c r="A29" s="13"/>
      <c r="B29" t="s" s="9">
        <v>95</v>
      </c>
      <c r="C29" t="s" s="9">
        <v>96</v>
      </c>
      <c r="D29" t="s" s="9">
        <v>97</v>
      </c>
      <c r="E29" s="10">
        <v>590</v>
      </c>
      <c r="F29" s="14"/>
      <c r="G29" t="s" s="7">
        <v>18</v>
      </c>
      <c r="H29" s="12">
        <v>73.75</v>
      </c>
      <c r="I29" s="12" cm="1">
        <f t="array" ref="I29">H29*F29</f>
        <v>0</v>
      </c>
    </row>
    <row r="30" ht="14.4" customHeight="1">
      <c r="A30" s="13"/>
      <c r="B30" t="s" s="9">
        <v>98</v>
      </c>
      <c r="C30" t="s" s="9">
        <v>99</v>
      </c>
      <c r="D30" t="s" s="9">
        <v>100</v>
      </c>
      <c r="E30" s="10">
        <v>19.5</v>
      </c>
      <c r="F30" s="11">
        <v>5</v>
      </c>
      <c r="G30" t="s" s="7">
        <v>18</v>
      </c>
      <c r="H30" s="12">
        <v>19.5</v>
      </c>
      <c r="I30" s="12" cm="1">
        <f t="array" ref="I30">H30*F30</f>
        <v>97.5</v>
      </c>
    </row>
    <row r="31" ht="14.4" customHeight="1">
      <c r="A31" s="13"/>
      <c r="B31" t="s" s="9">
        <v>101</v>
      </c>
      <c r="C31" t="s" s="9">
        <v>102</v>
      </c>
      <c r="D31" t="s" s="9">
        <v>103</v>
      </c>
      <c r="E31" s="10">
        <v>155</v>
      </c>
      <c r="F31" s="11">
        <v>1</v>
      </c>
      <c r="G31" t="s" s="7">
        <v>14</v>
      </c>
      <c r="H31" s="12">
        <v>155</v>
      </c>
      <c r="I31" s="12" cm="1">
        <f t="array" ref="I31">H31*F31</f>
        <v>155</v>
      </c>
    </row>
    <row r="32" ht="14.4" customHeight="1">
      <c r="A32" s="13"/>
      <c r="B32" t="s" s="9">
        <v>104</v>
      </c>
      <c r="C32" t="s" s="9">
        <v>105</v>
      </c>
      <c r="D32" t="s" s="9">
        <v>106</v>
      </c>
      <c r="E32" s="10">
        <v>245</v>
      </c>
      <c r="F32" s="11">
        <v>10</v>
      </c>
      <c r="G32" t="s" s="7">
        <v>107</v>
      </c>
      <c r="H32" s="12">
        <v>12.25</v>
      </c>
      <c r="I32" s="12" cm="1">
        <f t="array" ref="I32">H32*F32</f>
        <v>122.5</v>
      </c>
    </row>
    <row r="33" ht="14.4" customHeight="1">
      <c r="A33" s="13"/>
      <c r="B33" t="s" s="9">
        <v>108</v>
      </c>
      <c r="C33" t="s" s="9">
        <v>109</v>
      </c>
      <c r="D33" t="s" s="9">
        <v>110</v>
      </c>
      <c r="E33" s="10">
        <v>237</v>
      </c>
      <c r="F33" s="11">
        <v>500</v>
      </c>
      <c r="G33" t="s" s="7">
        <v>22</v>
      </c>
      <c r="H33" s="12">
        <v>0.79</v>
      </c>
      <c r="I33" s="12" cm="1">
        <f t="array" ref="I33">H33*F33</f>
        <v>395</v>
      </c>
    </row>
    <row r="34" ht="14.4" customHeight="1">
      <c r="A34" s="13"/>
      <c r="B34" t="s" s="9">
        <v>111</v>
      </c>
      <c r="C34" t="s" s="9">
        <v>112</v>
      </c>
      <c r="D34" t="s" s="9">
        <v>110</v>
      </c>
      <c r="E34" s="10">
        <v>177</v>
      </c>
      <c r="F34" s="11">
        <v>300</v>
      </c>
      <c r="G34" t="s" s="7">
        <v>22</v>
      </c>
      <c r="H34" s="12">
        <v>0.59</v>
      </c>
      <c r="I34" s="12" cm="1">
        <f t="array" ref="I34">H34*F34</f>
        <v>177</v>
      </c>
    </row>
    <row r="35" ht="14.4" customHeight="1">
      <c r="A35" s="13"/>
      <c r="B35" t="s" s="9">
        <v>113</v>
      </c>
      <c r="C35" t="s" s="9">
        <v>114</v>
      </c>
      <c r="D35" t="s" s="9">
        <v>110</v>
      </c>
      <c r="E35" s="10">
        <v>267</v>
      </c>
      <c r="F35" s="11">
        <v>150</v>
      </c>
      <c r="G35" t="s" s="7">
        <v>22</v>
      </c>
      <c r="H35" s="12">
        <v>0.89</v>
      </c>
      <c r="I35" s="12" cm="1">
        <f t="array" ref="I35">H35*F35</f>
        <v>133.5</v>
      </c>
    </row>
    <row r="36" ht="14.4" customHeight="1">
      <c r="A36" s="13"/>
      <c r="B36" t="s" s="9">
        <v>115</v>
      </c>
      <c r="C36" t="s" s="9">
        <v>116</v>
      </c>
      <c r="D36" t="s" s="9">
        <v>117</v>
      </c>
      <c r="E36" s="10">
        <v>9</v>
      </c>
      <c r="F36" s="14"/>
      <c r="G36" t="s" s="7">
        <v>18</v>
      </c>
      <c r="H36" s="12">
        <v>9</v>
      </c>
      <c r="I36" s="12" cm="1">
        <f t="array" ref="I36">H36*F36</f>
        <v>0</v>
      </c>
    </row>
    <row r="37" ht="14.4" customHeight="1">
      <c r="A37" s="13"/>
      <c r="B37" t="s" s="9">
        <v>118</v>
      </c>
      <c r="C37" t="s" s="9">
        <v>119</v>
      </c>
      <c r="D37" t="s" s="9">
        <v>120</v>
      </c>
      <c r="E37" s="10">
        <v>89.5</v>
      </c>
      <c r="F37" s="14"/>
      <c r="G37" t="s" s="7">
        <v>18</v>
      </c>
      <c r="H37" s="12">
        <v>89.5</v>
      </c>
      <c r="I37" s="12" cm="1">
        <f t="array" ref="I37">H37*F37</f>
        <v>0</v>
      </c>
    </row>
    <row r="38" ht="14.4" customHeight="1">
      <c r="A38" s="13"/>
      <c r="B38" t="s" s="9">
        <v>121</v>
      </c>
      <c r="C38" t="s" s="9">
        <v>122</v>
      </c>
      <c r="D38" t="s" s="9">
        <v>123</v>
      </c>
      <c r="E38" s="10">
        <v>236</v>
      </c>
      <c r="F38" s="14"/>
      <c r="G38" t="s" s="7">
        <v>14</v>
      </c>
      <c r="H38" s="12">
        <v>236</v>
      </c>
      <c r="I38" s="12" cm="1">
        <f t="array" ref="I38">H38*F38</f>
        <v>0</v>
      </c>
    </row>
    <row r="39" ht="14.4" customHeight="1">
      <c r="A39" s="13"/>
      <c r="B39" t="s" s="9">
        <v>124</v>
      </c>
      <c r="C39" t="s" s="9">
        <v>125</v>
      </c>
      <c r="D39" t="s" s="9">
        <v>126</v>
      </c>
      <c r="E39" s="10">
        <v>113</v>
      </c>
      <c r="F39" s="11">
        <v>40</v>
      </c>
      <c r="G39" t="s" s="7">
        <v>18</v>
      </c>
      <c r="H39" s="12">
        <v>3.1389</v>
      </c>
      <c r="I39" s="12" cm="1">
        <f t="array" ref="I39">H39*F39</f>
        <v>125.556</v>
      </c>
    </row>
    <row r="40" ht="14.4" customHeight="1">
      <c r="A40" s="13"/>
      <c r="B40" t="s" s="9">
        <v>127</v>
      </c>
      <c r="C40" t="s" s="9">
        <v>128</v>
      </c>
      <c r="D40" t="s" s="9">
        <v>129</v>
      </c>
      <c r="E40" s="10">
        <v>28</v>
      </c>
      <c r="F40" s="11">
        <v>1</v>
      </c>
      <c r="G40" t="s" s="7">
        <v>18</v>
      </c>
      <c r="H40" s="12">
        <v>28</v>
      </c>
      <c r="I40" s="12" cm="1">
        <f t="array" ref="I40">H40*F40</f>
        <v>28</v>
      </c>
    </row>
    <row r="41" ht="14.4" customHeight="1">
      <c r="A41" s="13"/>
      <c r="B41" t="s" s="9">
        <v>130</v>
      </c>
      <c r="C41" t="s" s="9">
        <v>131</v>
      </c>
      <c r="D41" t="s" s="9">
        <v>132</v>
      </c>
      <c r="E41" s="10">
        <v>39</v>
      </c>
      <c r="F41" s="11">
        <v>1</v>
      </c>
      <c r="G41" t="s" s="7">
        <v>94</v>
      </c>
      <c r="H41" s="12">
        <v>39</v>
      </c>
      <c r="I41" s="12" cm="1">
        <f t="array" ref="I41">H41*F41</f>
        <v>39</v>
      </c>
    </row>
    <row r="42" ht="14.4" customHeight="1">
      <c r="A42" s="13"/>
      <c r="B42" t="s" s="9">
        <v>133</v>
      </c>
      <c r="C42" t="s" s="9">
        <v>134</v>
      </c>
      <c r="D42" t="s" s="9">
        <v>110</v>
      </c>
      <c r="E42" s="10">
        <v>148</v>
      </c>
      <c r="F42" s="11">
        <v>1</v>
      </c>
      <c r="G42" t="s" s="7">
        <v>14</v>
      </c>
      <c r="H42" s="12">
        <v>148</v>
      </c>
      <c r="I42" s="12" cm="1">
        <f t="array" ref="I42">H42*F42</f>
        <v>148</v>
      </c>
    </row>
    <row r="43" ht="14.4" customHeight="1">
      <c r="A43" s="13"/>
      <c r="B43" t="s" s="9">
        <v>135</v>
      </c>
      <c r="C43" t="s" s="9">
        <v>136</v>
      </c>
      <c r="D43" t="s" s="9">
        <v>137</v>
      </c>
      <c r="E43" s="10">
        <v>96</v>
      </c>
      <c r="F43" s="11">
        <v>0.5</v>
      </c>
      <c r="G43" t="s" s="7">
        <v>14</v>
      </c>
      <c r="H43" s="12">
        <v>96</v>
      </c>
      <c r="I43" s="12" cm="1">
        <f t="array" ref="I43">H43*F43</f>
        <v>48</v>
      </c>
    </row>
    <row r="44" ht="14.4" customHeight="1">
      <c r="A44" s="13"/>
      <c r="B44" t="s" s="9">
        <v>138</v>
      </c>
      <c r="C44" t="s" s="9">
        <v>139</v>
      </c>
      <c r="D44" t="s" s="9">
        <v>100</v>
      </c>
      <c r="E44" s="10">
        <v>42</v>
      </c>
      <c r="F44" s="11">
        <v>0.5</v>
      </c>
      <c r="G44" t="s" s="7">
        <v>18</v>
      </c>
      <c r="H44" s="12">
        <v>42</v>
      </c>
      <c r="I44" s="12" cm="1">
        <f t="array" ref="I44">H44*F44</f>
        <v>21</v>
      </c>
    </row>
    <row r="45" ht="14.4" customHeight="1">
      <c r="A45" s="13"/>
      <c r="B45" t="s" s="9">
        <v>140</v>
      </c>
      <c r="C45" t="s" s="9">
        <v>141</v>
      </c>
      <c r="D45" t="s" s="9">
        <v>142</v>
      </c>
      <c r="E45" s="10">
        <v>370</v>
      </c>
      <c r="F45" s="11">
        <v>30</v>
      </c>
      <c r="G45" t="s" s="7">
        <v>107</v>
      </c>
      <c r="H45" s="12">
        <v>18.5</v>
      </c>
      <c r="I45" s="12" cm="1">
        <f t="array" ref="I45">H45*F45</f>
        <v>555</v>
      </c>
    </row>
    <row r="46" ht="14.4" customHeight="1">
      <c r="A46" s="13"/>
      <c r="B46" t="s" s="9">
        <v>143</v>
      </c>
      <c r="C46" t="s" s="9">
        <v>144</v>
      </c>
      <c r="D46" t="s" s="9">
        <v>142</v>
      </c>
      <c r="E46" s="10">
        <v>320</v>
      </c>
      <c r="F46" s="11">
        <v>15</v>
      </c>
      <c r="G46" t="s" s="7">
        <v>107</v>
      </c>
      <c r="H46" s="12">
        <v>16</v>
      </c>
      <c r="I46" s="12" cm="1">
        <f t="array" ref="I46">H46*F46</f>
        <v>240</v>
      </c>
    </row>
    <row r="47" ht="14.4" customHeight="1">
      <c r="A47" s="13"/>
      <c r="B47" t="s" s="9">
        <v>145</v>
      </c>
      <c r="C47" t="s" s="9">
        <v>146</v>
      </c>
      <c r="D47" t="s" s="9">
        <v>142</v>
      </c>
      <c r="E47" s="10">
        <v>228</v>
      </c>
      <c r="F47" s="11">
        <v>5</v>
      </c>
      <c r="G47" t="s" s="7">
        <v>107</v>
      </c>
      <c r="H47" s="12">
        <v>11.4</v>
      </c>
      <c r="I47" s="12" cm="1">
        <f t="array" ref="I47">H47*F47</f>
        <v>57</v>
      </c>
    </row>
    <row r="48" ht="14.4" customHeight="1">
      <c r="A48" s="13"/>
      <c r="B48" t="s" s="9">
        <v>147</v>
      </c>
      <c r="C48" t="s" s="9">
        <v>148</v>
      </c>
      <c r="D48" t="s" s="9">
        <v>142</v>
      </c>
      <c r="E48" s="10">
        <v>80</v>
      </c>
      <c r="F48" s="11">
        <v>40</v>
      </c>
      <c r="G48" t="s" s="7">
        <v>107</v>
      </c>
      <c r="H48" s="12">
        <v>4</v>
      </c>
      <c r="I48" s="12" cm="1">
        <f t="array" ref="I48">H48*F48</f>
        <v>160</v>
      </c>
    </row>
    <row r="49" ht="14.4" customHeight="1">
      <c r="A49" s="13"/>
      <c r="B49" t="s" s="9">
        <v>149</v>
      </c>
      <c r="C49" t="s" s="9">
        <v>150</v>
      </c>
      <c r="D49" t="s" s="9">
        <v>142</v>
      </c>
      <c r="E49" s="10">
        <v>125</v>
      </c>
      <c r="F49" s="11">
        <v>15</v>
      </c>
      <c r="G49" t="s" s="7">
        <v>107</v>
      </c>
      <c r="H49" s="12">
        <v>6.25</v>
      </c>
      <c r="I49" s="12" cm="1">
        <f t="array" ref="I49">H49*F49</f>
        <v>93.75</v>
      </c>
    </row>
    <row r="50" ht="14.4" customHeight="1">
      <c r="A50" s="13"/>
      <c r="B50" t="s" s="9">
        <v>151</v>
      </c>
      <c r="C50" t="s" s="9">
        <v>152</v>
      </c>
      <c r="D50" t="s" s="9">
        <v>142</v>
      </c>
      <c r="E50" s="10">
        <v>155</v>
      </c>
      <c r="F50" s="11">
        <v>20</v>
      </c>
      <c r="G50" t="s" s="7">
        <v>107</v>
      </c>
      <c r="H50" s="12">
        <v>7.75</v>
      </c>
      <c r="I50" s="12" cm="1">
        <f t="array" ref="I50">H50*F50</f>
        <v>155</v>
      </c>
    </row>
    <row r="51" ht="14.4" customHeight="1">
      <c r="A51" s="13"/>
      <c r="B51" t="s" s="9">
        <v>153</v>
      </c>
      <c r="C51" t="s" s="9">
        <v>154</v>
      </c>
      <c r="D51" t="s" s="9">
        <v>142</v>
      </c>
      <c r="E51" s="10">
        <v>80</v>
      </c>
      <c r="F51" s="11">
        <v>20</v>
      </c>
      <c r="G51" t="s" s="7">
        <v>107</v>
      </c>
      <c r="H51" s="12">
        <v>4</v>
      </c>
      <c r="I51" s="12" cm="1">
        <f t="array" ref="I51">H51*F51</f>
        <v>80</v>
      </c>
    </row>
    <row r="52" ht="14.4" customHeight="1">
      <c r="A52" s="13"/>
      <c r="B52" t="s" s="9">
        <v>155</v>
      </c>
      <c r="C52" t="s" s="9">
        <v>156</v>
      </c>
      <c r="D52" t="s" s="9">
        <v>157</v>
      </c>
      <c r="E52" s="10">
        <v>340</v>
      </c>
      <c r="F52" s="11">
        <v>10</v>
      </c>
      <c r="G52" t="s" s="7">
        <v>18</v>
      </c>
      <c r="H52" s="12">
        <v>17</v>
      </c>
      <c r="I52" s="12" cm="1">
        <f t="array" ref="I52">H52*F52</f>
        <v>170</v>
      </c>
    </row>
    <row r="53" ht="14.4" customHeight="1">
      <c r="A53" s="13"/>
      <c r="B53" t="s" s="9">
        <v>158</v>
      </c>
      <c r="C53" t="s" s="9">
        <v>159</v>
      </c>
      <c r="D53" t="s" s="9">
        <v>160</v>
      </c>
      <c r="E53" s="10">
        <v>245</v>
      </c>
      <c r="F53" s="14"/>
      <c r="G53" t="s" s="7">
        <v>18</v>
      </c>
      <c r="H53" s="12">
        <v>12.25</v>
      </c>
      <c r="I53" s="12" cm="1">
        <f t="array" ref="I53">H53*F53</f>
        <v>0</v>
      </c>
    </row>
    <row r="54" ht="14.4" customHeight="1">
      <c r="A54" s="13"/>
      <c r="B54" t="s" s="9">
        <v>161</v>
      </c>
      <c r="C54" t="s" s="9">
        <v>162</v>
      </c>
      <c r="D54" t="s" s="9">
        <v>110</v>
      </c>
      <c r="E54" s="10">
        <v>228</v>
      </c>
      <c r="F54" s="11">
        <v>1</v>
      </c>
      <c r="G54" t="s" s="7">
        <v>14</v>
      </c>
      <c r="H54" s="12">
        <v>228</v>
      </c>
      <c r="I54" s="12" cm="1">
        <f t="array" ref="I54">H54*F54</f>
        <v>228</v>
      </c>
    </row>
    <row r="55" ht="14.4" customHeight="1">
      <c r="A55" s="13"/>
      <c r="B55" t="s" s="9">
        <v>163</v>
      </c>
      <c r="C55" t="s" s="9">
        <v>164</v>
      </c>
      <c r="D55" t="s" s="9">
        <v>142</v>
      </c>
      <c r="E55" s="10">
        <v>190</v>
      </c>
      <c r="F55" s="11">
        <v>15</v>
      </c>
      <c r="G55" t="s" s="7">
        <v>107</v>
      </c>
      <c r="H55" s="12">
        <v>9.5</v>
      </c>
      <c r="I55" s="12" cm="1">
        <f t="array" ref="I55">H55*F55</f>
        <v>142.5</v>
      </c>
    </row>
    <row r="56" ht="14.4" customHeight="1">
      <c r="A56" s="13"/>
      <c r="B56" t="s" s="9">
        <v>165</v>
      </c>
      <c r="C56" t="s" s="9">
        <v>166</v>
      </c>
      <c r="D56" t="s" s="9">
        <v>167</v>
      </c>
      <c r="E56" s="10">
        <v>12.9</v>
      </c>
      <c r="F56" s="14"/>
      <c r="G56" t="s" s="7">
        <v>18</v>
      </c>
      <c r="H56" s="12">
        <v>12.9</v>
      </c>
      <c r="I56" s="12" cm="1">
        <f t="array" ref="I56">H56*F56</f>
        <v>0</v>
      </c>
    </row>
    <row r="57" ht="14.4" customHeight="1">
      <c r="A57" s="13"/>
      <c r="B57" t="s" s="9">
        <v>168</v>
      </c>
      <c r="C57" t="s" s="9">
        <v>169</v>
      </c>
      <c r="D57" t="s" s="9">
        <v>170</v>
      </c>
      <c r="E57" s="10">
        <v>354</v>
      </c>
      <c r="F57" s="14"/>
      <c r="G57" t="s" s="7">
        <v>14</v>
      </c>
      <c r="H57" s="12">
        <v>354</v>
      </c>
      <c r="I57" s="12" cm="1">
        <f t="array" ref="I57">H57*F57</f>
        <v>0</v>
      </c>
    </row>
    <row r="58" ht="14.4" customHeight="1">
      <c r="A58" s="13"/>
      <c r="B58" t="s" s="9">
        <v>171</v>
      </c>
      <c r="C58" t="s" s="9">
        <v>172</v>
      </c>
      <c r="D58" t="s" s="9">
        <v>120</v>
      </c>
      <c r="E58" s="10">
        <v>26</v>
      </c>
      <c r="F58" s="14"/>
      <c r="G58" t="s" s="7">
        <v>18</v>
      </c>
      <c r="H58" s="12">
        <v>26</v>
      </c>
      <c r="I58" s="12" cm="1">
        <f t="array" ref="I58">H58*F58</f>
        <v>0</v>
      </c>
    </row>
    <row r="59" ht="14.4" customHeight="1">
      <c r="A59" s="13"/>
      <c r="B59" t="s" s="9">
        <v>173</v>
      </c>
      <c r="C59" t="s" s="9">
        <v>174</v>
      </c>
      <c r="D59" t="s" s="9">
        <v>175</v>
      </c>
      <c r="E59" s="10">
        <v>8.5</v>
      </c>
      <c r="F59" s="14"/>
      <c r="G59" t="s" s="7">
        <v>22</v>
      </c>
      <c r="H59" s="12">
        <v>8.5</v>
      </c>
      <c r="I59" s="12" cm="1">
        <f t="array" ref="I59">H59*F59</f>
        <v>0</v>
      </c>
    </row>
    <row r="60" ht="14.4" customHeight="1">
      <c r="A60" s="13"/>
      <c r="B60" t="s" s="9">
        <v>176</v>
      </c>
      <c r="C60" t="s" s="9">
        <v>177</v>
      </c>
      <c r="D60" t="s" s="9">
        <v>120</v>
      </c>
      <c r="E60" s="10">
        <v>115</v>
      </c>
      <c r="F60" s="14"/>
      <c r="G60" t="s" s="7">
        <v>18</v>
      </c>
      <c r="H60" s="12">
        <v>115</v>
      </c>
      <c r="I60" s="12" cm="1">
        <f t="array" ref="I60">H60*F60</f>
        <v>0</v>
      </c>
    </row>
    <row r="61" ht="14.4" customHeight="1">
      <c r="A61" s="13"/>
      <c r="B61" t="s" s="9">
        <v>178</v>
      </c>
      <c r="C61" t="s" s="9">
        <v>179</v>
      </c>
      <c r="D61" t="s" s="9">
        <v>120</v>
      </c>
      <c r="E61" s="10">
        <v>115</v>
      </c>
      <c r="F61" s="14"/>
      <c r="G61" t="s" s="7">
        <v>18</v>
      </c>
      <c r="H61" s="12">
        <v>115</v>
      </c>
      <c r="I61" s="12" cm="1">
        <f t="array" ref="I61">H61*F61</f>
        <v>0</v>
      </c>
    </row>
    <row r="62" ht="14.4" customHeight="1">
      <c r="A62" s="13"/>
      <c r="B62" t="s" s="9">
        <v>180</v>
      </c>
      <c r="C62" t="s" s="9">
        <v>181</v>
      </c>
      <c r="D62" t="s" s="9">
        <v>120</v>
      </c>
      <c r="E62" s="10">
        <v>115</v>
      </c>
      <c r="F62" s="14"/>
      <c r="G62" t="s" s="7">
        <v>18</v>
      </c>
      <c r="H62" s="12">
        <v>115</v>
      </c>
      <c r="I62" s="12" cm="1">
        <f t="array" ref="I62">H62*F62</f>
        <v>0</v>
      </c>
    </row>
    <row r="63" ht="14.4" customHeight="1">
      <c r="A63" s="13"/>
      <c r="B63" t="s" s="9">
        <v>182</v>
      </c>
      <c r="C63" t="s" s="9">
        <v>183</v>
      </c>
      <c r="D63" t="s" s="9">
        <v>184</v>
      </c>
      <c r="E63" s="10">
        <v>13.9</v>
      </c>
      <c r="F63" s="14"/>
      <c r="G63" t="s" s="7">
        <v>18</v>
      </c>
      <c r="H63" s="12">
        <v>13.9</v>
      </c>
      <c r="I63" s="12" cm="1">
        <f t="array" ref="I63">H63*F63</f>
        <v>0</v>
      </c>
    </row>
    <row r="64" ht="16" customHeight="1">
      <c r="A64" t="s" s="18">
        <v>185</v>
      </c>
      <c r="B64" t="s" s="9">
        <v>186</v>
      </c>
      <c r="C64" t="s" s="9">
        <v>187</v>
      </c>
      <c r="D64" t="s" s="9">
        <v>188</v>
      </c>
      <c r="E64" s="10">
        <v>132</v>
      </c>
      <c r="F64" s="11">
        <v>1</v>
      </c>
      <c r="G64" t="s" s="7">
        <v>14</v>
      </c>
      <c r="H64" s="12">
        <v>132</v>
      </c>
      <c r="I64" s="12" cm="1">
        <f t="array" ref="I64">H64*F64</f>
        <v>132</v>
      </c>
    </row>
    <row r="65" ht="14.4" customHeight="1">
      <c r="A65" s="19"/>
      <c r="B65" t="s" s="9">
        <v>189</v>
      </c>
      <c r="C65" t="s" s="9">
        <v>190</v>
      </c>
      <c r="D65" t="s" s="9">
        <v>191</v>
      </c>
      <c r="E65" s="10">
        <v>208</v>
      </c>
      <c r="F65" s="14"/>
      <c r="G65" t="s" s="7">
        <v>14</v>
      </c>
      <c r="H65" s="12">
        <v>208</v>
      </c>
      <c r="I65" s="12" cm="1">
        <f t="array" ref="I65">H65*F65</f>
        <v>0</v>
      </c>
    </row>
    <row r="66" ht="14.4" customHeight="1">
      <c r="A66" s="19"/>
      <c r="B66" t="s" s="9">
        <v>192</v>
      </c>
      <c r="C66" t="s" s="9">
        <v>193</v>
      </c>
      <c r="D66" t="s" s="9">
        <v>194</v>
      </c>
      <c r="E66" s="10">
        <v>210</v>
      </c>
      <c r="F66" s="14"/>
      <c r="G66" t="s" s="7">
        <v>14</v>
      </c>
      <c r="H66" s="12">
        <v>210</v>
      </c>
      <c r="I66" s="12" cm="1">
        <f t="array" ref="I66">H66*F66</f>
        <v>0</v>
      </c>
    </row>
    <row r="67" ht="14.4" customHeight="1">
      <c r="A67" s="19"/>
      <c r="B67" t="s" s="9">
        <v>195</v>
      </c>
      <c r="C67" t="s" s="9">
        <v>196</v>
      </c>
      <c r="D67" t="s" s="9">
        <v>197</v>
      </c>
      <c r="E67" s="10">
        <v>470</v>
      </c>
      <c r="F67" s="14"/>
      <c r="G67" t="s" s="7">
        <v>198</v>
      </c>
      <c r="H67" s="12">
        <v>39.17</v>
      </c>
      <c r="I67" s="12" cm="1">
        <f t="array" ref="I67">H67*F67</f>
        <v>0</v>
      </c>
    </row>
    <row r="68" ht="14.4" customHeight="1">
      <c r="A68" s="19"/>
      <c r="B68" t="s" s="9">
        <v>199</v>
      </c>
      <c r="C68" t="s" s="9">
        <v>200</v>
      </c>
      <c r="D68" t="s" s="9">
        <v>201</v>
      </c>
      <c r="E68" s="10">
        <v>228</v>
      </c>
      <c r="F68" s="14"/>
      <c r="G68" t="s" s="7">
        <v>14</v>
      </c>
      <c r="H68" s="12">
        <v>228</v>
      </c>
      <c r="I68" s="12" cm="1">
        <f t="array" ref="I68">H68*F68</f>
        <v>0</v>
      </c>
    </row>
    <row r="69" ht="14.4" customHeight="1">
      <c r="A69" s="19"/>
      <c r="B69" t="s" s="9">
        <v>202</v>
      </c>
      <c r="C69" t="s" s="9">
        <v>203</v>
      </c>
      <c r="D69" t="s" s="9">
        <v>204</v>
      </c>
      <c r="E69" s="10">
        <v>536</v>
      </c>
      <c r="F69" s="14"/>
      <c r="G69" t="s" s="7">
        <v>14</v>
      </c>
      <c r="H69" s="12">
        <v>536</v>
      </c>
      <c r="I69" s="12" cm="1">
        <f t="array" ref="I69">H69*F69</f>
        <v>0</v>
      </c>
    </row>
    <row r="70" ht="14.4" customHeight="1">
      <c r="A70" s="19"/>
      <c r="B70" t="s" s="9">
        <v>205</v>
      </c>
      <c r="C70" t="s" s="9">
        <v>206</v>
      </c>
      <c r="D70" t="s" s="9">
        <v>207</v>
      </c>
      <c r="E70" s="10">
        <v>468</v>
      </c>
      <c r="F70" s="11">
        <v>2.5</v>
      </c>
      <c r="G70" t="s" s="7">
        <v>14</v>
      </c>
      <c r="H70" s="12">
        <v>468</v>
      </c>
      <c r="I70" s="12" cm="1">
        <f t="array" ref="I70">H70*F70</f>
        <v>1170</v>
      </c>
    </row>
    <row r="71" ht="14.4" customHeight="1">
      <c r="A71" s="19"/>
      <c r="B71" t="s" s="9">
        <v>208</v>
      </c>
      <c r="C71" t="s" s="9">
        <v>209</v>
      </c>
      <c r="D71" t="s" s="9">
        <v>210</v>
      </c>
      <c r="E71" s="10">
        <v>252</v>
      </c>
      <c r="F71" s="11">
        <v>1.5</v>
      </c>
      <c r="G71" t="s" s="7">
        <v>64</v>
      </c>
      <c r="H71" s="12">
        <v>126</v>
      </c>
      <c r="I71" s="12" cm="1">
        <f t="array" ref="I71">H71*F71</f>
        <v>189</v>
      </c>
    </row>
    <row r="72" ht="14.4" customHeight="1">
      <c r="A72" s="19"/>
      <c r="B72" t="s" s="9">
        <v>211</v>
      </c>
      <c r="C72" t="s" s="9">
        <v>212</v>
      </c>
      <c r="D72" t="s" s="9">
        <v>213</v>
      </c>
      <c r="E72" s="10">
        <v>1250</v>
      </c>
      <c r="F72" s="11">
        <v>0.8</v>
      </c>
      <c r="G72" t="s" s="7">
        <v>18</v>
      </c>
      <c r="H72" s="12">
        <v>125</v>
      </c>
      <c r="I72" s="12" cm="1">
        <f t="array" ref="I72">H72*F72</f>
        <v>100</v>
      </c>
    </row>
    <row r="73" ht="14.4" customHeight="1">
      <c r="A73" s="19"/>
      <c r="B73" t="s" s="9">
        <v>214</v>
      </c>
      <c r="C73" t="s" s="9">
        <v>215</v>
      </c>
      <c r="D73" t="s" s="9">
        <v>216</v>
      </c>
      <c r="E73" s="10">
        <v>320</v>
      </c>
      <c r="F73" s="11">
        <v>0.8</v>
      </c>
      <c r="G73" t="s" s="7">
        <v>14</v>
      </c>
      <c r="H73" s="12">
        <v>320</v>
      </c>
      <c r="I73" s="12" cm="1">
        <f t="array" ref="I73">H73*F73</f>
        <v>256</v>
      </c>
    </row>
    <row r="74" ht="14.4" customHeight="1">
      <c r="A74" s="19"/>
      <c r="B74" t="s" s="9">
        <v>217</v>
      </c>
      <c r="C74" t="s" s="9">
        <v>218</v>
      </c>
      <c r="D74" t="s" s="9">
        <v>219</v>
      </c>
      <c r="E74" s="10">
        <v>180</v>
      </c>
      <c r="F74" s="14"/>
      <c r="G74" t="s" s="7">
        <v>14</v>
      </c>
      <c r="H74" s="12">
        <v>180</v>
      </c>
      <c r="I74" s="12" cm="1">
        <f t="array" ref="I74">H74*F74</f>
        <v>0</v>
      </c>
    </row>
    <row r="75" ht="14.4" customHeight="1">
      <c r="A75" s="19"/>
      <c r="B75" t="s" s="9">
        <v>220</v>
      </c>
      <c r="C75" t="s" s="9">
        <v>221</v>
      </c>
      <c r="D75" t="s" s="9">
        <v>222</v>
      </c>
      <c r="E75" s="10">
        <v>300</v>
      </c>
      <c r="F75" s="11">
        <v>0.8</v>
      </c>
      <c r="G75" t="s" s="7">
        <v>14</v>
      </c>
      <c r="H75" s="12">
        <v>300</v>
      </c>
      <c r="I75" s="12" cm="1">
        <f t="array" ref="I75">H75*F75</f>
        <v>240</v>
      </c>
    </row>
    <row r="76" ht="14.4" customHeight="1">
      <c r="A76" s="19"/>
      <c r="B76" t="s" s="9">
        <v>223</v>
      </c>
      <c r="C76" t="s" s="9">
        <v>224</v>
      </c>
      <c r="D76" t="s" s="9">
        <v>225</v>
      </c>
      <c r="E76" s="10">
        <v>306</v>
      </c>
      <c r="F76" s="11">
        <v>0.8</v>
      </c>
      <c r="G76" t="s" s="7">
        <v>14</v>
      </c>
      <c r="H76" s="12">
        <v>306</v>
      </c>
      <c r="I76" s="12" cm="1">
        <f t="array" ref="I76">H76*F76</f>
        <v>244.8</v>
      </c>
    </row>
    <row r="77" ht="14.4" customHeight="1">
      <c r="A77" s="19"/>
      <c r="B77" t="s" s="9">
        <v>226</v>
      </c>
      <c r="C77" t="s" s="9">
        <v>227</v>
      </c>
      <c r="D77" t="s" s="9">
        <v>228</v>
      </c>
      <c r="E77" s="10">
        <v>240</v>
      </c>
      <c r="F77" s="11">
        <v>0.5</v>
      </c>
      <c r="G77" t="s" s="7">
        <v>14</v>
      </c>
      <c r="H77" s="12">
        <v>240</v>
      </c>
      <c r="I77" s="12" cm="1">
        <f t="array" ref="I77">H77*F77</f>
        <v>120</v>
      </c>
    </row>
    <row r="78" ht="14.4" customHeight="1">
      <c r="A78" s="19"/>
      <c r="B78" t="s" s="9">
        <v>229</v>
      </c>
      <c r="C78" t="s" s="9">
        <v>230</v>
      </c>
      <c r="D78" t="s" s="9">
        <v>231</v>
      </c>
      <c r="E78" s="10">
        <v>440</v>
      </c>
      <c r="F78" s="11">
        <v>1.6</v>
      </c>
      <c r="G78" t="s" s="7">
        <v>14</v>
      </c>
      <c r="H78" s="12">
        <v>440</v>
      </c>
      <c r="I78" s="12" cm="1">
        <f t="array" ref="I78">H78*F78</f>
        <v>704</v>
      </c>
    </row>
    <row r="79" ht="14.4" customHeight="1">
      <c r="A79" t="s" s="8">
        <v>232</v>
      </c>
      <c r="B79" t="s" s="9">
        <v>233</v>
      </c>
      <c r="C79" t="s" s="9">
        <v>234</v>
      </c>
      <c r="D79" t="s" s="9">
        <v>137</v>
      </c>
      <c r="E79" s="10">
        <v>865</v>
      </c>
      <c r="F79" s="14"/>
      <c r="G79" t="s" s="7">
        <v>22</v>
      </c>
      <c r="H79" s="12">
        <v>86.5</v>
      </c>
      <c r="I79" s="12" cm="1">
        <f t="array" ref="I79">H79*F79</f>
        <v>0</v>
      </c>
    </row>
    <row r="80" ht="14.4" customHeight="1">
      <c r="A80" s="13"/>
      <c r="B80" t="s" s="9">
        <v>235</v>
      </c>
      <c r="C80" t="s" s="9">
        <v>236</v>
      </c>
      <c r="D80" t="s" s="9">
        <v>100</v>
      </c>
      <c r="E80" s="10">
        <v>220</v>
      </c>
      <c r="F80" s="14"/>
      <c r="G80" t="s" s="7">
        <v>18</v>
      </c>
      <c r="H80" s="12">
        <v>2.2</v>
      </c>
      <c r="I80" s="12" cm="1">
        <f t="array" ref="I80">H80*F80</f>
        <v>0</v>
      </c>
    </row>
    <row r="81" ht="14.4" customHeight="1">
      <c r="A81" s="13"/>
      <c r="B81" t="s" s="9">
        <v>237</v>
      </c>
      <c r="C81" t="s" s="9">
        <v>238</v>
      </c>
      <c r="D81" t="s" s="9">
        <v>100</v>
      </c>
      <c r="E81" s="10">
        <v>220</v>
      </c>
      <c r="F81" s="14"/>
      <c r="G81" t="s" s="7">
        <v>18</v>
      </c>
      <c r="H81" s="12">
        <v>2.2</v>
      </c>
      <c r="I81" s="12" cm="1">
        <f t="array" ref="I81">H81*F81</f>
        <v>0</v>
      </c>
    </row>
    <row r="82" ht="14.4" customHeight="1">
      <c r="A82" s="13"/>
      <c r="B82" t="s" s="9">
        <v>239</v>
      </c>
      <c r="C82" t="s" s="9">
        <v>240</v>
      </c>
      <c r="D82" t="s" s="9">
        <v>100</v>
      </c>
      <c r="E82" s="10">
        <v>220</v>
      </c>
      <c r="F82" s="14"/>
      <c r="G82" t="s" s="7">
        <v>18</v>
      </c>
      <c r="H82" s="12">
        <v>2.2</v>
      </c>
      <c r="I82" s="12" cm="1">
        <f t="array" ref="I82">H82*F82</f>
        <v>0</v>
      </c>
    </row>
    <row r="83" ht="14.4" customHeight="1">
      <c r="A83" s="13"/>
      <c r="B83" t="s" s="9">
        <v>241</v>
      </c>
      <c r="C83" t="s" s="9">
        <v>242</v>
      </c>
      <c r="D83" t="s" s="9">
        <v>100</v>
      </c>
      <c r="E83" s="10">
        <v>220</v>
      </c>
      <c r="F83" s="14"/>
      <c r="G83" t="s" s="7">
        <v>18</v>
      </c>
      <c r="H83" s="12">
        <v>2.2</v>
      </c>
      <c r="I83" s="12" cm="1">
        <f t="array" ref="I83">H83*F83</f>
        <v>0</v>
      </c>
    </row>
    <row r="84" ht="14.4" customHeight="1">
      <c r="A84" s="20"/>
      <c r="B84" s="20"/>
      <c r="C84" s="20"/>
      <c r="D84" s="20"/>
      <c r="E84" s="20"/>
      <c r="F84" s="21"/>
      <c r="G84" t="s" s="7">
        <v>243</v>
      </c>
      <c r="H84" s="22"/>
      <c r="I84" s="12" cm="1">
        <f t="array" ref="I84">SUM(I3:I83)</f>
        <v>13888.106</v>
      </c>
    </row>
    <row r="85" ht="14.4" customHeight="1">
      <c r="A85" s="23"/>
      <c r="B85" s="23"/>
      <c r="C85" s="23"/>
      <c r="D85" s="23"/>
      <c r="E85" s="23"/>
      <c r="F85" s="24"/>
      <c r="G85" s="22"/>
      <c r="H85" s="22"/>
      <c r="I85" s="22"/>
    </row>
    <row r="86" ht="14.4" customHeight="1">
      <c r="A86" s="23"/>
      <c r="B86" s="23"/>
      <c r="C86" s="23"/>
      <c r="D86" s="23"/>
      <c r="E86" s="23"/>
      <c r="F86" s="24"/>
      <c r="G86" s="22"/>
      <c r="H86" s="22"/>
      <c r="I86" s="22"/>
    </row>
  </sheetData>
  <mergeCells count="6">
    <mergeCell ref="A1:I1"/>
    <mergeCell ref="A3:A22"/>
    <mergeCell ref="A23:A26"/>
    <mergeCell ref="A27:A63"/>
    <mergeCell ref="A64:A78"/>
    <mergeCell ref="A79:A8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